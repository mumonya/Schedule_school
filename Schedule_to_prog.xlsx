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chedule_mom\"/>
    </mc:Choice>
  </mc:AlternateContent>
  <xr:revisionPtr revIDLastSave="0" documentId="13_ncr:1_{2A1F145C-8284-4BE9-974E-AE3D9B9246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2" i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</calcChain>
</file>

<file path=xl/sharedStrings.xml><?xml version="1.0" encoding="utf-8"?>
<sst xmlns="http://schemas.openxmlformats.org/spreadsheetml/2006/main" count="286" uniqueCount="76">
  <si>
    <t>Старт</t>
  </si>
  <si>
    <t>Педагог</t>
  </si>
  <si>
    <t>Тьютор</t>
  </si>
  <si>
    <t>Комната</t>
  </si>
  <si>
    <t>1 класс</t>
  </si>
  <si>
    <t>2 класс</t>
  </si>
  <si>
    <t>3 класс</t>
  </si>
  <si>
    <t>4 класс</t>
  </si>
  <si>
    <t>5 класс</t>
  </si>
  <si>
    <t>6 класс</t>
  </si>
  <si>
    <t>7 класс</t>
  </si>
  <si>
    <t>8 класс</t>
  </si>
  <si>
    <t>9 класс</t>
  </si>
  <si>
    <t>Чтение</t>
  </si>
  <si>
    <t>Башмина</t>
  </si>
  <si>
    <t>Жуковская</t>
  </si>
  <si>
    <t>Криворук</t>
  </si>
  <si>
    <t>Окр. мир</t>
  </si>
  <si>
    <t>Харисова</t>
  </si>
  <si>
    <t>Математика</t>
  </si>
  <si>
    <t>Никитина</t>
  </si>
  <si>
    <t>Беляева</t>
  </si>
  <si>
    <t>Русский</t>
  </si>
  <si>
    <t>Косарева</t>
  </si>
  <si>
    <t>Английский</t>
  </si>
  <si>
    <t>Окладникова</t>
  </si>
  <si>
    <t>Переверзева</t>
  </si>
  <si>
    <t>Алпатова</t>
  </si>
  <si>
    <t>Физика</t>
  </si>
  <si>
    <t>Денисова</t>
  </si>
  <si>
    <t>Галимова</t>
  </si>
  <si>
    <t>Федотова</t>
  </si>
  <si>
    <t>История</t>
  </si>
  <si>
    <t>Веселова</t>
  </si>
  <si>
    <t>Курбатова</t>
  </si>
  <si>
    <t>Шрамко</t>
  </si>
  <si>
    <t>Переведенцева</t>
  </si>
  <si>
    <t>Шаборкина</t>
  </si>
  <si>
    <t>Информатика</t>
  </si>
  <si>
    <t>Богданова</t>
  </si>
  <si>
    <t>Устинова</t>
  </si>
  <si>
    <t>Литература</t>
  </si>
  <si>
    <t>Класс.час</t>
  </si>
  <si>
    <t>География</t>
  </si>
  <si>
    <t>Алгебра</t>
  </si>
  <si>
    <t>Химия</t>
  </si>
  <si>
    <t>Коткин</t>
  </si>
  <si>
    <t>ПРОГУЛКА</t>
  </si>
  <si>
    <t>Сампо</t>
  </si>
  <si>
    <t>Каллиграфия</t>
  </si>
  <si>
    <t>ПиктоИнж</t>
  </si>
  <si>
    <t>Биомодели</t>
  </si>
  <si>
    <t>Олимп.Мат.</t>
  </si>
  <si>
    <t>Био.лаб</t>
  </si>
  <si>
    <t>Физ.лаб</t>
  </si>
  <si>
    <t>Углов</t>
  </si>
  <si>
    <t>Ушу/Карате</t>
  </si>
  <si>
    <t>Рогова</t>
  </si>
  <si>
    <t>кабинет 7 класса</t>
  </si>
  <si>
    <t>кабинет 6 класса</t>
  </si>
  <si>
    <t>Галимова Лев, Алена алгебра</t>
  </si>
  <si>
    <t>МатЭк.лаб</t>
  </si>
  <si>
    <t>кабинет 5 класса</t>
  </si>
  <si>
    <t xml:space="preserve">Веселова </t>
  </si>
  <si>
    <t>Прогулка</t>
  </si>
  <si>
    <t>Театр</t>
  </si>
  <si>
    <t>Александрова</t>
  </si>
  <si>
    <t>Тех.рисунок</t>
  </si>
  <si>
    <t>Азат</t>
  </si>
  <si>
    <t>Читалка</t>
  </si>
  <si>
    <t>Беляева дежурство</t>
  </si>
  <si>
    <t>Номер урока</t>
  </si>
  <si>
    <t>Начало</t>
  </si>
  <si>
    <t>Конец</t>
  </si>
  <si>
    <t>День недели</t>
  </si>
  <si>
    <t>Пнд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</si>
</sst>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"/>
  <sheetViews>
    <sheetView tabSelected="1" workbookViewId="0">
      <selection activeCell="D14" sqref="D14"/>
    </sheetView>
  </sheetViews>
  <sheetFormatPr defaultRowHeight="14.4" x14ac:dyDescent="0.3"/>
  <cols>
    <col min="1" max="2" width="12.77734375" customWidth="1"/>
    <col min="3" max="4" width="8.88671875" style="1"/>
  </cols>
  <sheetData>
    <row r="1" spans="1:44" x14ac:dyDescent="0.3">
      <c r="A1" t="s">
        <v>74</v>
      </c>
      <c r="B1" t="s">
        <v>71</v>
      </c>
      <c r="C1" s="1" t="s">
        <v>72</v>
      </c>
      <c r="D1" s="1" t="s">
        <v>73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</v>
      </c>
      <c r="K1" t="s">
        <v>2</v>
      </c>
      <c r="L1" t="s">
        <v>3</v>
      </c>
      <c r="M1" t="s">
        <v>5</v>
      </c>
      <c r="N1" t="s">
        <v>1</v>
      </c>
      <c r="O1" t="s">
        <v>2</v>
      </c>
      <c r="P1" t="s">
        <v>3</v>
      </c>
      <c r="Q1" t="s">
        <v>6</v>
      </c>
      <c r="R1" t="s">
        <v>1</v>
      </c>
      <c r="S1" t="s">
        <v>2</v>
      </c>
      <c r="T1" t="s">
        <v>3</v>
      </c>
      <c r="U1" t="s">
        <v>7</v>
      </c>
      <c r="V1" t="s">
        <v>1</v>
      </c>
      <c r="W1" t="s">
        <v>2</v>
      </c>
      <c r="X1" t="s">
        <v>3</v>
      </c>
      <c r="Y1" t="s">
        <v>8</v>
      </c>
      <c r="Z1" t="s">
        <v>1</v>
      </c>
      <c r="AA1" t="s">
        <v>2</v>
      </c>
      <c r="AB1" t="s">
        <v>3</v>
      </c>
      <c r="AC1" t="s">
        <v>9</v>
      </c>
      <c r="AD1" t="s">
        <v>1</v>
      </c>
      <c r="AE1" t="s">
        <v>2</v>
      </c>
      <c r="AF1" t="s">
        <v>3</v>
      </c>
      <c r="AG1" t="s">
        <v>10</v>
      </c>
      <c r="AH1" t="s">
        <v>1</v>
      </c>
      <c r="AI1" t="s">
        <v>2</v>
      </c>
      <c r="AJ1" t="s">
        <v>3</v>
      </c>
      <c r="AK1" t="s">
        <v>11</v>
      </c>
      <c r="AL1" t="s">
        <v>1</v>
      </c>
      <c r="AM1" t="s">
        <v>2</v>
      </c>
      <c r="AN1" t="s">
        <v>3</v>
      </c>
      <c r="AO1" t="s">
        <v>12</v>
      </c>
      <c r="AP1" t="s">
        <v>1</v>
      </c>
      <c r="AQ1" t="s">
        <v>2</v>
      </c>
      <c r="AR1" t="s">
        <v>3</v>
      </c>
    </row>
    <row r="2" spans="1:44" x14ac:dyDescent="0.3">
      <c r="A2" t="s">
        <v>75</v>
      </c>
      <c r="B2">
        <f>1</f>
        <v>1</v>
      </c>
      <c r="C2" s="1">
        <f>TIME(9,30,0)</f>
        <v>0.39583333333333331</v>
      </c>
      <c r="D2" s="1">
        <f xml:space="preserve"> C2 +TIME(0,45,0)</f>
        <v>0.42708333333333331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M2" t="s">
        <v>19</v>
      </c>
      <c r="N2" t="s">
        <v>20</v>
      </c>
      <c r="O2" t="s">
        <v>21</v>
      </c>
      <c r="Q2" t="s">
        <v>22</v>
      </c>
      <c r="R2" t="s">
        <v>23</v>
      </c>
      <c r="U2" t="s">
        <v>24</v>
      </c>
      <c r="V2" t="s">
        <v>25</v>
      </c>
      <c r="Y2" t="s">
        <v>24</v>
      </c>
      <c r="Z2" t="s">
        <v>26</v>
      </c>
      <c r="AC2" t="s">
        <v>22</v>
      </c>
      <c r="AD2" t="s">
        <v>27</v>
      </c>
      <c r="AG2" t="s">
        <v>28</v>
      </c>
      <c r="AH2" t="s">
        <v>29</v>
      </c>
      <c r="AI2" t="s">
        <v>30</v>
      </c>
      <c r="AK2" t="s">
        <v>22</v>
      </c>
      <c r="AL2" t="s">
        <v>31</v>
      </c>
      <c r="AO2" t="s">
        <v>32</v>
      </c>
      <c r="AP2" t="s">
        <v>33</v>
      </c>
    </row>
    <row r="3" spans="1:44" x14ac:dyDescent="0.3">
      <c r="A3" t="s">
        <v>75</v>
      </c>
      <c r="B3">
        <f>B2+1</f>
        <v>2</v>
      </c>
      <c r="C3" s="1">
        <f>TIME(10,30,0)</f>
        <v>0.4375</v>
      </c>
      <c r="D3" s="1">
        <f xml:space="preserve"> C3 +TIME(0,45,0)</f>
        <v>0.46875</v>
      </c>
      <c r="E3" t="s">
        <v>19</v>
      </c>
      <c r="F3" t="s">
        <v>18</v>
      </c>
      <c r="G3" t="s">
        <v>15</v>
      </c>
      <c r="I3" t="s">
        <v>22</v>
      </c>
      <c r="J3" t="s">
        <v>34</v>
      </c>
      <c r="K3" t="s">
        <v>14</v>
      </c>
      <c r="L3" t="s">
        <v>16</v>
      </c>
      <c r="M3" t="s">
        <v>22</v>
      </c>
      <c r="N3" t="s">
        <v>23</v>
      </c>
      <c r="Q3" t="s">
        <v>24</v>
      </c>
      <c r="R3" t="s">
        <v>25</v>
      </c>
      <c r="U3" t="s">
        <v>19</v>
      </c>
      <c r="V3" t="s">
        <v>35</v>
      </c>
      <c r="W3" t="s">
        <v>21</v>
      </c>
      <c r="Y3" t="s">
        <v>19</v>
      </c>
      <c r="Z3" t="s">
        <v>36</v>
      </c>
      <c r="AA3" t="s">
        <v>37</v>
      </c>
      <c r="AC3" t="s">
        <v>24</v>
      </c>
      <c r="AD3" t="s">
        <v>26</v>
      </c>
      <c r="AG3" t="s">
        <v>38</v>
      </c>
      <c r="AH3" t="s">
        <v>39</v>
      </c>
      <c r="AK3" t="s">
        <v>28</v>
      </c>
      <c r="AL3" t="s">
        <v>29</v>
      </c>
      <c r="AM3" t="s">
        <v>30</v>
      </c>
      <c r="AO3" t="s">
        <v>22</v>
      </c>
      <c r="AP3" t="s">
        <v>27</v>
      </c>
    </row>
    <row r="4" spans="1:44" x14ac:dyDescent="0.3">
      <c r="A4" t="s">
        <v>75</v>
      </c>
      <c r="B4">
        <f t="shared" ref="B4:B11" si="0">B3+1</f>
        <v>3</v>
      </c>
      <c r="C4" s="1">
        <f>TIME(11,30,0)</f>
        <v>0.47916666666666669</v>
      </c>
      <c r="D4" s="1">
        <f xml:space="preserve"> C4 +TIME(0,45,0)</f>
        <v>0.51041666666666674</v>
      </c>
      <c r="E4" t="s">
        <v>22</v>
      </c>
      <c r="F4" t="s">
        <v>14</v>
      </c>
      <c r="G4" t="s">
        <v>15</v>
      </c>
      <c r="H4" t="s">
        <v>16</v>
      </c>
      <c r="I4" t="s">
        <v>24</v>
      </c>
      <c r="J4" t="s">
        <v>25</v>
      </c>
      <c r="M4" t="s">
        <v>13</v>
      </c>
      <c r="N4" t="s">
        <v>34</v>
      </c>
      <c r="Q4" t="s">
        <v>13</v>
      </c>
      <c r="R4" t="s">
        <v>23</v>
      </c>
      <c r="U4" t="s">
        <v>22</v>
      </c>
      <c r="V4" t="s">
        <v>40</v>
      </c>
      <c r="Y4" t="s">
        <v>19</v>
      </c>
      <c r="Z4" t="s">
        <v>36</v>
      </c>
      <c r="AC4" t="s">
        <v>41</v>
      </c>
      <c r="AD4" t="s">
        <v>31</v>
      </c>
      <c r="AG4" t="s">
        <v>24</v>
      </c>
      <c r="AK4" t="s">
        <v>38</v>
      </c>
      <c r="AL4" t="s">
        <v>39</v>
      </c>
      <c r="AO4" t="s">
        <v>28</v>
      </c>
      <c r="AP4" t="s">
        <v>29</v>
      </c>
      <c r="AQ4" t="s">
        <v>30</v>
      </c>
    </row>
    <row r="5" spans="1:44" x14ac:dyDescent="0.3">
      <c r="A5" t="s">
        <v>75</v>
      </c>
      <c r="B5">
        <f t="shared" si="0"/>
        <v>4</v>
      </c>
      <c r="C5" s="1">
        <f>TIME(12,40,0)</f>
        <v>0.52777777777777779</v>
      </c>
      <c r="D5" s="1">
        <f xml:space="preserve"> C5 +TIME(0,45,0)</f>
        <v>0.55902777777777779</v>
      </c>
      <c r="E5" t="s">
        <v>42</v>
      </c>
      <c r="F5" t="s">
        <v>34</v>
      </c>
      <c r="G5" t="s">
        <v>15</v>
      </c>
      <c r="I5" t="s">
        <v>19</v>
      </c>
      <c r="J5" t="s">
        <v>20</v>
      </c>
      <c r="K5" t="s">
        <v>14</v>
      </c>
      <c r="L5" t="s">
        <v>16</v>
      </c>
      <c r="M5" t="s">
        <v>24</v>
      </c>
      <c r="N5" t="s">
        <v>25</v>
      </c>
      <c r="Q5" t="s">
        <v>17</v>
      </c>
      <c r="R5" t="s">
        <v>18</v>
      </c>
      <c r="S5" t="s">
        <v>21</v>
      </c>
      <c r="U5" t="s">
        <v>13</v>
      </c>
      <c r="V5" t="s">
        <v>23</v>
      </c>
      <c r="Y5" t="s">
        <v>22</v>
      </c>
      <c r="Z5" t="s">
        <v>40</v>
      </c>
      <c r="AC5" t="s">
        <v>43</v>
      </c>
      <c r="AD5" t="s">
        <v>39</v>
      </c>
      <c r="AG5" t="s">
        <v>44</v>
      </c>
      <c r="AH5" t="s">
        <v>37</v>
      </c>
      <c r="AI5" t="s">
        <v>30</v>
      </c>
      <c r="AK5" t="s">
        <v>45</v>
      </c>
      <c r="AL5" t="s">
        <v>46</v>
      </c>
      <c r="AO5" t="s">
        <v>24</v>
      </c>
      <c r="AP5" t="s">
        <v>26</v>
      </c>
    </row>
    <row r="6" spans="1:44" x14ac:dyDescent="0.3">
      <c r="A6" t="s">
        <v>75</v>
      </c>
      <c r="B6">
        <f t="shared" si="0"/>
        <v>5</v>
      </c>
      <c r="C6" s="1">
        <f>TIME(13,40,0)</f>
        <v>0.56944444444444442</v>
      </c>
      <c r="D6" s="1">
        <f xml:space="preserve"> C6 +TIME(0,45,0)</f>
        <v>0.60069444444444442</v>
      </c>
      <c r="E6" t="s">
        <v>47</v>
      </c>
      <c r="G6" t="s">
        <v>15</v>
      </c>
      <c r="I6" t="s">
        <v>47</v>
      </c>
      <c r="K6" t="s">
        <v>18</v>
      </c>
      <c r="M6" t="s">
        <v>47</v>
      </c>
      <c r="Q6" t="s">
        <v>47</v>
      </c>
      <c r="S6" t="s">
        <v>16</v>
      </c>
      <c r="U6" t="s">
        <v>47</v>
      </c>
      <c r="W6" t="s">
        <v>21</v>
      </c>
      <c r="Y6" t="s">
        <v>47</v>
      </c>
      <c r="AC6" t="s">
        <v>47</v>
      </c>
      <c r="AD6" t="s">
        <v>37</v>
      </c>
      <c r="AG6" t="s">
        <v>22</v>
      </c>
      <c r="AH6" t="s">
        <v>40</v>
      </c>
      <c r="AK6" t="s">
        <v>24</v>
      </c>
      <c r="AL6" t="s">
        <v>25</v>
      </c>
      <c r="AO6" t="s">
        <v>45</v>
      </c>
      <c r="AP6" t="s">
        <v>46</v>
      </c>
    </row>
    <row r="7" spans="1:44" x14ac:dyDescent="0.3">
      <c r="A7" t="s">
        <v>75</v>
      </c>
      <c r="B7">
        <f t="shared" si="0"/>
        <v>6</v>
      </c>
      <c r="C7" s="1">
        <f>TIME(14,35,0)</f>
        <v>0.60763888888888884</v>
      </c>
      <c r="D7" s="1">
        <f xml:space="preserve"> C7 +TIME(0,45,0)</f>
        <v>0.63888888888888884</v>
      </c>
      <c r="E7" t="s">
        <v>48</v>
      </c>
      <c r="G7" t="s">
        <v>34</v>
      </c>
      <c r="I7" t="s">
        <v>49</v>
      </c>
      <c r="J7" t="s">
        <v>14</v>
      </c>
      <c r="M7" t="s">
        <v>50</v>
      </c>
      <c r="N7" t="s">
        <v>20</v>
      </c>
      <c r="Q7" t="s">
        <v>51</v>
      </c>
      <c r="R7" t="s">
        <v>18</v>
      </c>
      <c r="U7" t="s">
        <v>52</v>
      </c>
      <c r="V7" t="s">
        <v>36</v>
      </c>
      <c r="W7" t="s">
        <v>21</v>
      </c>
      <c r="Y7" t="s">
        <v>22</v>
      </c>
      <c r="Z7" t="s">
        <v>40</v>
      </c>
      <c r="AC7" t="s">
        <v>19</v>
      </c>
      <c r="AD7" t="s">
        <v>35</v>
      </c>
      <c r="AE7" t="s">
        <v>37</v>
      </c>
      <c r="AG7" t="s">
        <v>53</v>
      </c>
      <c r="AH7" t="s">
        <v>46</v>
      </c>
      <c r="AK7" t="s">
        <v>54</v>
      </c>
      <c r="AL7" t="s">
        <v>55</v>
      </c>
      <c r="AM7" t="s">
        <v>30</v>
      </c>
      <c r="AO7" t="s">
        <v>43</v>
      </c>
      <c r="AP7" t="s">
        <v>39</v>
      </c>
    </row>
    <row r="8" spans="1:44" x14ac:dyDescent="0.3">
      <c r="A8" t="s">
        <v>75</v>
      </c>
      <c r="B8">
        <f t="shared" si="0"/>
        <v>7</v>
      </c>
      <c r="C8" s="1">
        <f>TIME(15,30,0)</f>
        <v>0.64583333333333337</v>
      </c>
      <c r="D8" s="1">
        <f xml:space="preserve"> C8 +TIME(0,45,0)</f>
        <v>0.67708333333333337</v>
      </c>
      <c r="E8" t="s">
        <v>56</v>
      </c>
      <c r="F8" t="s">
        <v>57</v>
      </c>
      <c r="I8" t="s">
        <v>48</v>
      </c>
      <c r="K8" t="s">
        <v>14</v>
      </c>
      <c r="L8" t="s">
        <v>16</v>
      </c>
      <c r="M8" t="s">
        <v>48</v>
      </c>
      <c r="O8" t="s">
        <v>20</v>
      </c>
      <c r="P8" t="s">
        <v>21</v>
      </c>
      <c r="Q8" t="s">
        <v>48</v>
      </c>
      <c r="S8" t="s">
        <v>18</v>
      </c>
      <c r="U8" t="s">
        <v>48</v>
      </c>
      <c r="W8" t="s">
        <v>23</v>
      </c>
      <c r="Y8" t="s">
        <v>53</v>
      </c>
      <c r="Z8" t="s">
        <v>46</v>
      </c>
      <c r="AB8" t="s">
        <v>58</v>
      </c>
      <c r="AC8" t="s">
        <v>48</v>
      </c>
      <c r="AD8" t="s">
        <v>35</v>
      </c>
      <c r="AF8" t="s">
        <v>59</v>
      </c>
      <c r="AG8" t="s">
        <v>48</v>
      </c>
      <c r="AI8" t="s">
        <v>60</v>
      </c>
      <c r="AJ8" t="s">
        <v>58</v>
      </c>
      <c r="AK8" t="s">
        <v>61</v>
      </c>
      <c r="AL8" t="s">
        <v>36</v>
      </c>
      <c r="AM8" t="s">
        <v>27</v>
      </c>
      <c r="AO8" t="s">
        <v>54</v>
      </c>
      <c r="AP8" t="s">
        <v>55</v>
      </c>
    </row>
    <row r="9" spans="1:44" x14ac:dyDescent="0.3">
      <c r="A9" t="s">
        <v>75</v>
      </c>
      <c r="B9">
        <f t="shared" si="0"/>
        <v>8</v>
      </c>
      <c r="C9" s="1">
        <f>TIME(16,25,0)</f>
        <v>0.68402777777777779</v>
      </c>
      <c r="D9" s="1">
        <f xml:space="preserve"> C9 +TIME(0,45,0)</f>
        <v>0.71527777777777779</v>
      </c>
      <c r="E9" t="s">
        <v>48</v>
      </c>
      <c r="G9" t="s">
        <v>34</v>
      </c>
      <c r="I9" t="s">
        <v>56</v>
      </c>
      <c r="J9" t="s">
        <v>57</v>
      </c>
      <c r="M9" t="s">
        <v>56</v>
      </c>
      <c r="Q9" t="s">
        <v>48</v>
      </c>
      <c r="S9" t="s">
        <v>18</v>
      </c>
      <c r="T9" t="s">
        <v>16</v>
      </c>
      <c r="U9" t="s">
        <v>48</v>
      </c>
      <c r="W9" t="s">
        <v>23</v>
      </c>
      <c r="X9" t="s">
        <v>21</v>
      </c>
      <c r="Y9" t="s">
        <v>48</v>
      </c>
      <c r="AA9" t="s">
        <v>31</v>
      </c>
      <c r="AB9" t="s">
        <v>62</v>
      </c>
      <c r="AC9" t="s">
        <v>48</v>
      </c>
      <c r="AE9" t="s">
        <v>16</v>
      </c>
      <c r="AF9" t="s">
        <v>59</v>
      </c>
      <c r="AG9" t="s">
        <v>54</v>
      </c>
      <c r="AH9" t="s">
        <v>55</v>
      </c>
      <c r="AI9" t="s">
        <v>30</v>
      </c>
      <c r="AJ9" t="s">
        <v>59</v>
      </c>
      <c r="AK9" t="s">
        <v>48</v>
      </c>
      <c r="AL9" t="s">
        <v>63</v>
      </c>
      <c r="AM9" t="s">
        <v>33</v>
      </c>
      <c r="AO9" t="s">
        <v>61</v>
      </c>
      <c r="AP9" t="s">
        <v>37</v>
      </c>
    </row>
    <row r="10" spans="1:44" x14ac:dyDescent="0.3">
      <c r="A10" t="s">
        <v>75</v>
      </c>
      <c r="B10">
        <f t="shared" si="0"/>
        <v>9</v>
      </c>
      <c r="C10" s="1">
        <f>TIME(17,20,0)</f>
        <v>0.72222222222222221</v>
      </c>
      <c r="D10" s="1">
        <f xml:space="preserve"> C10 +TIME(0,45,0)</f>
        <v>0.75347222222222221</v>
      </c>
      <c r="E10" t="s">
        <v>48</v>
      </c>
      <c r="F10" t="s">
        <v>64</v>
      </c>
      <c r="G10" t="s">
        <v>15</v>
      </c>
      <c r="I10" t="s">
        <v>48</v>
      </c>
      <c r="K10" t="s">
        <v>16</v>
      </c>
      <c r="M10" t="s">
        <v>48</v>
      </c>
      <c r="O10" t="s">
        <v>21</v>
      </c>
      <c r="Q10" t="s">
        <v>56</v>
      </c>
      <c r="R10" t="s">
        <v>57</v>
      </c>
      <c r="U10" t="s">
        <v>56</v>
      </c>
      <c r="Y10" t="s">
        <v>65</v>
      </c>
      <c r="Z10" t="s">
        <v>66</v>
      </c>
      <c r="AB10" t="s">
        <v>62</v>
      </c>
      <c r="AC10" t="s">
        <v>65</v>
      </c>
      <c r="AE10" t="s">
        <v>31</v>
      </c>
      <c r="AF10" t="s">
        <v>62</v>
      </c>
      <c r="AG10" t="s">
        <v>65</v>
      </c>
      <c r="AH10" t="s">
        <v>66</v>
      </c>
      <c r="AI10" t="s">
        <v>68</v>
      </c>
      <c r="AK10" t="s">
        <v>67</v>
      </c>
      <c r="AM10" t="s">
        <v>30</v>
      </c>
      <c r="AO10" t="s">
        <v>67</v>
      </c>
    </row>
    <row r="11" spans="1:44" x14ac:dyDescent="0.3">
      <c r="A11" t="s">
        <v>75</v>
      </c>
      <c r="B11">
        <f t="shared" si="0"/>
        <v>10</v>
      </c>
      <c r="C11" s="1">
        <f>TIME(18,15,0)</f>
        <v>0.76041666666666663</v>
      </c>
      <c r="D11" s="1">
        <f xml:space="preserve"> C11 +TIME(0,45,0)</f>
        <v>0.79166666666666663</v>
      </c>
      <c r="E11" t="s">
        <v>69</v>
      </c>
      <c r="G11" t="s">
        <v>15</v>
      </c>
      <c r="I11" t="s">
        <v>69</v>
      </c>
      <c r="K11" t="s">
        <v>70</v>
      </c>
      <c r="M11" t="s">
        <v>69</v>
      </c>
      <c r="Q11" t="s">
        <v>69</v>
      </c>
      <c r="S11" t="s">
        <v>16</v>
      </c>
      <c r="U11" t="s">
        <v>69</v>
      </c>
      <c r="Y11" t="s">
        <v>56</v>
      </c>
      <c r="Z11" t="s">
        <v>57</v>
      </c>
      <c r="AB11" t="s">
        <v>62</v>
      </c>
      <c r="AC11" t="s">
        <v>56</v>
      </c>
      <c r="AE11" t="s">
        <v>37</v>
      </c>
      <c r="AF11" t="s">
        <v>62</v>
      </c>
      <c r="AG11" t="s">
        <v>56</v>
      </c>
      <c r="AH11" t="s">
        <v>57</v>
      </c>
      <c r="AI11" t="s">
        <v>68</v>
      </c>
      <c r="AK11" t="s">
        <v>56</v>
      </c>
      <c r="AM11" t="s">
        <v>30</v>
      </c>
      <c r="AO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Denisov</dc:creator>
  <cp:lastModifiedBy>Dima Denisov</cp:lastModifiedBy>
  <dcterms:created xsi:type="dcterms:W3CDTF">2015-06-05T18:17:20Z</dcterms:created>
  <dcterms:modified xsi:type="dcterms:W3CDTF">2025-11-10T11:53:20Z</dcterms:modified>
</cp:coreProperties>
</file>